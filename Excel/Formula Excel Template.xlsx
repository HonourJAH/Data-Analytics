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CCEA061D-C754-449E-A93F-431A01C99BE1}" xr6:coauthVersionLast="47" xr6:coauthVersionMax="47" xr10:uidLastSave="{00000000-0000-0000-0000-000000000000}"/>
  <bookViews>
    <workbookView xWindow="-120" yWindow="-120" windowWidth="20730" windowHeight="1116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9" i="13"/>
  <c r="J2" i="13"/>
  <c r="J3" i="13"/>
  <c r="J4" i="13"/>
  <c r="J5" i="13"/>
  <c r="J6" i="13"/>
  <c r="J7" i="13"/>
  <c r="J8" i="13"/>
  <c r="J10" i="13"/>
  <c r="J2" i="5"/>
  <c r="L2" i="12"/>
  <c r="K2" i="12"/>
  <c r="J2" i="12"/>
  <c r="K2" i="7" a="1"/>
  <c r="K2" i="7" s="1"/>
  <c r="J2" i="7" a="1"/>
  <c r="J2" i="7" s="1"/>
  <c r="L2" i="7" a="1"/>
  <c r="L2" i="7" s="1"/>
  <c r="L3" i="1"/>
  <c r="L4" i="1"/>
  <c r="L5" i="1"/>
  <c r="L6" i="1"/>
  <c r="L7" i="1"/>
  <c r="L8" i="1"/>
  <c r="L9" i="1"/>
  <c r="L10" i="1"/>
  <c r="L2" i="1"/>
  <c r="J2" i="1"/>
  <c r="J3" i="1"/>
  <c r="J4" i="1"/>
  <c r="J5" i="1"/>
  <c r="J6" i="1"/>
  <c r="J7" i="1"/>
  <c r="J8" i="1"/>
  <c r="J9" i="1"/>
  <c r="J10" i="1"/>
  <c r="J2" i="6" a="1"/>
  <c r="J2" i="6" s="1"/>
  <c r="N2" i="3" a="1"/>
  <c r="N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<sst xmlns="http://schemas.openxmlformats.org/spreadsheetml/2006/main" count="575" uniqueCount="97">
  <si>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</si>
  <si>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</si>
  <si>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</si>
  <si>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</si>
  <si>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</si>
  <si>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</si>
  <si>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</si>
  <si>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</si>
  <si>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</si>
  <si>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</si>
  <si>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</si>
  <si>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</si>
  <si>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</si>
  <si>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</si>
  <si>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</si>
  <si>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</si>
  <si>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</si>
  <si>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</si>
  <si>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</si>
  <si>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</si>
  <si>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</si>
  <si>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</si>
  <si>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</si>
  <si>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</si>
  <si>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</si>
  <si>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</si>
  <si>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</si>
  <si>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</si>
  <si>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</si>
  <si>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</si>
  <si>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</si>
  <si>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</si>
  <si>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</si>
  <si>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</si>
  <si>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</si>
  <si>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</si>
  <si>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</si>
  <si>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</si>
  <si>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</si>
  <si>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</si>
  <si>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</si>
  <si>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</si>
  <si>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</si>
  <si>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</si>
  <si>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</si>
  <si>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</si>
  <si>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</si>
  <si>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</si>
  <si>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</si>
  <si>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</si>
  <si>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</si>
  <si>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</si>
  <si>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</si>
  <si>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</si>
  <si>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</si>
  <si>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</si>
  <si>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</si>
  <si>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</si>
  <si>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</si>
  <si>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</si>
  <si>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</si>
  <si>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</si>
  <si>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</si>
  <si>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</si>
  <si>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</si>
  <si>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</si>
  <si>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</si>
  <si>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</si>
  <si>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</si>
  <si>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</si>
  <si>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</si>
  <si>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</si>
  <si>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</si>
  <si>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</si>
  <si>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</si>
  <si>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</si>
  <si>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</si>
  <si>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</si>
  <si>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</si>
  <si>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</si>
  <si>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</si>
  <si>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</si>
  <si>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</si>
  <si>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</si>
  <si>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</si>
  <si>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</si>
  <si>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</si>
  <si>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</si>
  <si>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</si>
  <si>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</si>
  <si>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</si>
  <si>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</si>
  <si>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</si>
  <si>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</si>
  <si>
    <t>with 1st instance</t>
  </si>
  <si>
    <t>with 2nd instances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</si>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</sst>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abSelected="1" workbookViewId="0">
      <selection activeCell="K4" sqref="K4"/>
    </sheetView>
  </sheetViews>
  <sheetFormatPr defaultColWidth="13.7109375" defaultRowHeight="15" x14ac:dyDescent="0.25"/>
  <cols>
    <col min="1" max="1" width="12.42578125" customWidth="1"/>
    <col min="4" max="4" width="7.7109375" customWidth="1"/>
    <col min="6" max="6" width="18" customWidth="1"/>
    <col min="8" max="8" width="13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22.42578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 "HR", "Fire immediately", F2:F10 = "Regional Manager", 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workbookViewId="0">
      <selection activeCell="I11" sqref="I11"/>
    </sheetView>
  </sheetViews>
  <sheetFormatPr defaultColWidth="14.5703125" defaultRowHeight="15" x14ac:dyDescent="0.25"/>
  <cols>
    <col min="4" max="4" width="8" customWidth="1"/>
    <col min="10" max="10" width="21.5703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83</v>
      </c>
      <c r="L1" t="s">
        <v>84</v>
      </c>
      <c r="M1" t="s">
        <v>84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N13"/>
  <sheetViews>
    <sheetView topLeftCell="C1"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4" max="14" width="7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96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M2" t="s">
        <v>85</v>
      </c>
      <c r="N2" t="str" cm="1">
        <f t="array" ref="N2:N10">RIGHT(M2:M10, 4)</f>
        <v>2001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M3" t="s">
        <v>86</v>
      </c>
      <c r="N3" t="str"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M4" t="s">
        <v>87</v>
      </c>
      <c r="N4" t="str"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M5" t="s">
        <v>88</v>
      </c>
      <c r="N5" t="str"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M6" t="s">
        <v>89</v>
      </c>
      <c r="N6" t="str"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M7" t="s">
        <v>90</v>
      </c>
      <c r="N7" t="str">
        <v>1995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M8" t="s">
        <v>91</v>
      </c>
      <c r="N8" t="str"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M9" t="s">
        <v>92</v>
      </c>
      <c r="N9" t="str"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M10" t="s">
        <v>93</v>
      </c>
      <c r="N10" t="str">
        <v>2003</v>
      </c>
    </row>
    <row r="12" spans="1:14" x14ac:dyDescent="0.25">
      <c r="H12" s="1"/>
    </row>
    <row r="13" spans="1:14" x14ac:dyDescent="0.25">
      <c r="H13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94</v>
      </c>
      <c r="K1" t="s">
        <v>95</v>
      </c>
      <c r="L1" t="s">
        <v>70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 "/", "-", 1)</f>
        <v>11-2/2001</v>
      </c>
      <c r="K2" t="str" cm="1">
        <f t="array" ref="K2:K10">SUBSTITUTE(H2:H10, "/", "-", 2)</f>
        <v>11/2-2001</v>
      </c>
      <c r="L2" t="str" cm="1">
        <f t="array" ref="L2:L10">SUBSTITUTE(H2:H10, "/", 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B1"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 50000")</f>
        <v>128000</v>
      </c>
      <c r="L2">
        <f>SUMIFS(G2:G10, 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L12"/>
  <sheetViews>
    <sheetView workbookViewId="0">
      <selection activeCell="M2" sqref="M2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2" max="12" width="30.5703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L1" t="s">
        <v>38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",C2)</f>
        <v>Jim Halpert</v>
      </c>
      <c r="L2" t="str">
        <f>CONCATENATE(B2, ".",C2, "@gmail.com")</f>
        <v>Jim.Halpert@gmail.com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 " ",C3)</f>
        <v>Pam Beasley</v>
      </c>
      <c r="L3" t="str">
        <f t="shared" ref="L3:L10" si="1">CONCATENATE(B3, ".",C3, "@gmail.com")</f>
        <v>Pam.Beasley@gmail.com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L4" t="str">
        <f t="shared" si="1"/>
        <v>Dwight.Schrute@gmail.com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L5" t="str">
        <f t="shared" si="1"/>
        <v>Angela.Martin@gmail.com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L6" t="str">
        <f t="shared" si="1"/>
        <v>Toby.Flenderson@gmail.com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L7" t="str">
        <f t="shared" si="1"/>
        <v>Michael.Scott@gmail.com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L8" t="str">
        <f t="shared" si="1"/>
        <v>Meredith.Palmer@gmail.com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L9" t="str">
        <f t="shared" si="1"/>
        <v>Stanley.Hudson@gmail.com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L10" t="str">
        <f t="shared" si="1"/>
        <v>Kevin.Malone@gmail.com</v>
      </c>
    </row>
    <row r="11" spans="1:12" x14ac:dyDescent="0.25">
      <c r="H11" t="str">
        <f t="shared" ref="H11:H12" si="2">CONCATENATE(B11," ",C11)</f>
        <v xml:space="preserve"> </v>
      </c>
    </row>
    <row r="12" spans="1:12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L2" sqref="L2"/>
    </sheetView>
  </sheetViews>
  <sheetFormatPr defaultRowHeight="15" x14ac:dyDescent="0.25"/>
  <cols>
    <col min="8" max="8" width="14.42578125" customWidth="1"/>
    <col min="9" max="9" width="13.28515625" customWidth="1"/>
    <col min="11" max="11" width="16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36933</v>
      </c>
      <c r="I2" s="1">
        <v>42164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36229</v>
      </c>
      <c r="I3" s="1">
        <v>42287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36623</v>
      </c>
      <c r="I4" s="1">
        <v>42956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36647</v>
      </c>
      <c r="I5" s="1">
        <v>42075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37047</v>
      </c>
      <c r="I6" s="1">
        <v>42977</v>
      </c>
      <c r="J6">
        <f t="shared" si="0"/>
        <v>5930</v>
      </c>
      <c r="K6">
        <f t="shared" si="1"/>
        <v>4237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37047</v>
      </c>
      <c r="I7" s="1">
        <v>41587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37844</v>
      </c>
      <c r="I8" s="1">
        <v>41587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37505</v>
      </c>
      <c r="I9" s="1">
        <v>42116</v>
      </c>
      <c r="J9">
        <f>_xlfn.DAYS(I9,H9)</f>
        <v>4611</v>
      </c>
      <c r="K9">
        <f t="shared" si="1"/>
        <v>3294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37902</v>
      </c>
      <c r="I10" s="1">
        <v>42116</v>
      </c>
      <c r="J10">
        <f t="shared" si="0"/>
        <v>4214</v>
      </c>
      <c r="K10">
        <f t="shared" si="1"/>
        <v>3011</v>
      </c>
    </row>
  </sheetData>
  <pageMargins left="0.7" right="0.7" top="0.75" bottom="0.75" header="0.3" footer="0.3"/>
  <ignoredErrors>
    <ignoredError sqref="J10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1C17-E7F6-407F-BCC6-AD94C1FFED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Michael Onojah</cp:lastModifiedBy>
  <dcterms:created xsi:type="dcterms:W3CDTF">2021-12-16T14:18:34Z</dcterms:created>
  <dcterms:modified xsi:type="dcterms:W3CDTF">2026-10-26T02:21:27Z</dcterms:modified>
</cp:coreProperties>
</file>